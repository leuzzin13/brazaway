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rsgovbr.sharepoint.com/sites/DiretoriadeQualidade/Shared Documents/Rodovias/1 RSM - Rota de Santa Maria RSC-287/"/>
    </mc:Choice>
  </mc:AlternateContent>
  <xr:revisionPtr revIDLastSave="651" documentId="11_A6319050D6630B685BCE66AFA175CC6E4032A4B6" xr6:coauthVersionLast="47" xr6:coauthVersionMax="47" xr10:uidLastSave="{2807CF70-D14B-4C8D-8BD6-C4E6457D1301}"/>
  <bookViews>
    <workbookView xWindow="-3870" yWindow="-16320" windowWidth="37710" windowHeight="16440" activeTab="1" xr2:uid="{00000000-000D-0000-FFFF-FFFF00000000}"/>
  </bookViews>
  <sheets>
    <sheet name="RSC-287 - RSM" sheetId="1" r:id="rId1"/>
    <sheet name="Bloco 3 - CS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" i="3" l="1"/>
  <c r="H36" i="3"/>
  <c r="L35" i="3"/>
  <c r="H35" i="3"/>
  <c r="L34" i="3"/>
  <c r="H34" i="3"/>
  <c r="I34" i="3" s="1"/>
  <c r="L33" i="3"/>
  <c r="H33" i="3"/>
  <c r="L32" i="3"/>
  <c r="H32" i="3"/>
  <c r="L31" i="3"/>
  <c r="H31" i="3"/>
  <c r="L30" i="3"/>
  <c r="H30" i="3"/>
  <c r="L29" i="3"/>
  <c r="H29" i="3"/>
  <c r="L28" i="3"/>
  <c r="H28" i="3"/>
  <c r="L27" i="3"/>
  <c r="H27" i="3"/>
  <c r="I27" i="3" s="1"/>
  <c r="L17" i="3"/>
  <c r="H17" i="3"/>
  <c r="I17" i="3" s="1"/>
  <c r="L9" i="3"/>
  <c r="H9" i="3"/>
  <c r="L8" i="3"/>
  <c r="L7" i="3"/>
  <c r="H7" i="3"/>
  <c r="L6" i="3"/>
  <c r="H6" i="3"/>
  <c r="L16" i="3"/>
  <c r="H16" i="3"/>
  <c r="L15" i="3"/>
  <c r="H15" i="3"/>
  <c r="L14" i="3"/>
  <c r="H14" i="3"/>
  <c r="L13" i="3"/>
  <c r="L12" i="3"/>
  <c r="H12" i="3"/>
  <c r="L11" i="3"/>
  <c r="H11" i="3"/>
  <c r="L10" i="3"/>
  <c r="H10" i="3"/>
  <c r="L26" i="3"/>
  <c r="H26" i="3"/>
  <c r="L25" i="3"/>
  <c r="H25" i="3"/>
  <c r="L24" i="3"/>
  <c r="H24" i="3"/>
  <c r="L23" i="3"/>
  <c r="H23" i="3"/>
  <c r="L22" i="3"/>
  <c r="H22" i="3"/>
  <c r="L21" i="3"/>
  <c r="L20" i="3"/>
  <c r="H20" i="3"/>
  <c r="L19" i="3"/>
  <c r="H19" i="3"/>
  <c r="L18" i="3"/>
  <c r="H18" i="3"/>
  <c r="L5" i="3"/>
  <c r="H5" i="3"/>
  <c r="L4" i="3"/>
  <c r="H4" i="3"/>
  <c r="L3" i="3"/>
  <c r="H3" i="3"/>
  <c r="L2" i="3"/>
  <c r="H2" i="3"/>
  <c r="G22" i="1"/>
  <c r="L22" i="1"/>
  <c r="I24" i="3" l="1"/>
  <c r="I12" i="3"/>
  <c r="I28" i="3"/>
  <c r="I33" i="3"/>
  <c r="I36" i="3"/>
  <c r="I19" i="3"/>
  <c r="I30" i="3"/>
  <c r="I10" i="3"/>
  <c r="I31" i="3"/>
  <c r="I35" i="3"/>
  <c r="I5" i="3"/>
  <c r="I21" i="3"/>
  <c r="I13" i="3"/>
  <c r="I7" i="3"/>
  <c r="I26" i="3"/>
  <c r="I22" i="3"/>
  <c r="I2" i="3"/>
  <c r="I29" i="3"/>
  <c r="I16" i="3"/>
  <c r="I25" i="3"/>
  <c r="H37" i="3"/>
  <c r="I32" i="3"/>
  <c r="I8" i="3"/>
  <c r="I15" i="3"/>
  <c r="I11" i="3"/>
  <c r="I20" i="3"/>
  <c r="I4" i="3"/>
  <c r="I6" i="3"/>
  <c r="I18" i="3"/>
  <c r="I9" i="3"/>
  <c r="L37" i="3"/>
  <c r="I14" i="3"/>
  <c r="I23" i="3"/>
  <c r="I3" i="3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G4" i="1"/>
  <c r="G5" i="1"/>
  <c r="I5" i="1" s="1"/>
  <c r="G6" i="1"/>
  <c r="I6" i="1" s="1"/>
  <c r="G7" i="1"/>
  <c r="G8" i="1"/>
  <c r="G9" i="1"/>
  <c r="G10" i="1"/>
  <c r="I10" i="1" s="1"/>
  <c r="G11" i="1"/>
  <c r="G12" i="1"/>
  <c r="G13" i="1"/>
  <c r="G14" i="1"/>
  <c r="G15" i="1"/>
  <c r="G16" i="1"/>
  <c r="I16" i="1" s="1"/>
  <c r="G17" i="1"/>
  <c r="G18" i="1"/>
  <c r="G19" i="1"/>
  <c r="G20" i="1"/>
  <c r="I21" i="1" s="1"/>
  <c r="G21" i="1"/>
  <c r="I20" i="1" s="1"/>
  <c r="G3" i="1"/>
  <c r="I3" i="1" s="1"/>
  <c r="G2" i="1"/>
  <c r="I2" i="1" s="1"/>
  <c r="I13" i="1" l="1"/>
  <c r="I9" i="1"/>
  <c r="I17" i="1"/>
  <c r="I18" i="1"/>
  <c r="I8" i="1"/>
  <c r="I14" i="1"/>
  <c r="I12" i="1"/>
  <c r="I11" i="1"/>
  <c r="I7" i="1"/>
  <c r="I19" i="1"/>
  <c r="I15" i="1"/>
  <c r="I4" i="1"/>
</calcChain>
</file>

<file path=xl/sharedStrings.xml><?xml version="1.0" encoding="utf-8"?>
<sst xmlns="http://schemas.openxmlformats.org/spreadsheetml/2006/main" count="268" uniqueCount="188">
  <si>
    <t>Subtrecho</t>
  </si>
  <si>
    <t>Início</t>
  </si>
  <si>
    <t>Fim</t>
  </si>
  <si>
    <t>km inicial</t>
  </si>
  <si>
    <t>km final</t>
  </si>
  <si>
    <t>Extensão (km)</t>
  </si>
  <si>
    <t>Subtrecho homogêneo</t>
  </si>
  <si>
    <t>ST1</t>
  </si>
  <si>
    <t>ST2</t>
  </si>
  <si>
    <t>ST3</t>
  </si>
  <si>
    <t>ST4</t>
  </si>
  <si>
    <t>ST5</t>
  </si>
  <si>
    <t>ST6</t>
  </si>
  <si>
    <t>ST7</t>
  </si>
  <si>
    <t>ST8</t>
  </si>
  <si>
    <t>ST9</t>
  </si>
  <si>
    <t>ST10</t>
  </si>
  <si>
    <t>ST11</t>
  </si>
  <si>
    <t>287RSC0035</t>
  </si>
  <si>
    <t>287RSC0045</t>
  </si>
  <si>
    <t>287RSC0050</t>
  </si>
  <si>
    <t>287RSC0065</t>
  </si>
  <si>
    <t>287RSC0070</t>
  </si>
  <si>
    <t>287RSC0080</t>
  </si>
  <si>
    <t>287RSC0085</t>
  </si>
  <si>
    <t>287RSC0090</t>
  </si>
  <si>
    <t>287RSC0100</t>
  </si>
  <si>
    <t>287RSC0110</t>
  </si>
  <si>
    <t>287RSC0120</t>
  </si>
  <si>
    <t>287RSC0130</t>
  </si>
  <si>
    <t>287RSC0140</t>
  </si>
  <si>
    <t>287RSC0150</t>
  </si>
  <si>
    <t>287RSC0170</t>
  </si>
  <si>
    <t>287RSC0172</t>
  </si>
  <si>
    <t>287RSC0174</t>
  </si>
  <si>
    <t>287RSC0175</t>
  </si>
  <si>
    <t>287RSC0190</t>
  </si>
  <si>
    <t>287RSC0200</t>
  </si>
  <si>
    <t>Entr. BRS-386(B) (Tabaí)</t>
  </si>
  <si>
    <t>Entr. ERS-436 (p/ Taquari)</t>
  </si>
  <si>
    <t>Entr. ERS-129 (p/ Bom Retiro do Sul)</t>
  </si>
  <si>
    <t>Entr. ERS-130 (p/ Mariante)</t>
  </si>
  <si>
    <t>Entr. ERS-453/ERS-244 (p/ Lajeado)</t>
  </si>
  <si>
    <t>Entr. ERS-405 (p/ Passo do Sobrado)</t>
  </si>
  <si>
    <t>Entr. ERS-418 (p/ Monte Alverne)</t>
  </si>
  <si>
    <t>Entr. RSC-471(A) (p/ Sinimbu)</t>
  </si>
  <si>
    <t>Entr. RSC-471(B) (p/ Santa Cruz do Sul)</t>
  </si>
  <si>
    <t>Entr. RSC-153(A)/ERS-412 (Vera Cruz)</t>
  </si>
  <si>
    <t>Entr. ERS-409 (p/ Vera Cruz)</t>
  </si>
  <si>
    <t>Entr. ERS-400 (p/ Sobradinho)</t>
  </si>
  <si>
    <t>Entr. ERS-410 (Candelária)</t>
  </si>
  <si>
    <t>Entr. RSC-481 (Novo Cabrais)</t>
  </si>
  <si>
    <t>Entr. BRS-153(B) (p/ Cachoeira do Sul)</t>
  </si>
  <si>
    <t>Entr. ERS-502 (Contenda)</t>
  </si>
  <si>
    <t>Entr. ERS-348(A) (p/ Porto Alves)</t>
  </si>
  <si>
    <t>Entr. ERS-348(B) (p/ Agudo)</t>
  </si>
  <si>
    <t>Entr. ERS-149(A) (p/ Restinga Seca)</t>
  </si>
  <si>
    <t>Entr. ERS-149(B) (p/ Faxinal do Soturno)</t>
  </si>
  <si>
    <t>Entr. ERS-509 (Camobi)</t>
  </si>
  <si>
    <t>Extensão ST (km)</t>
  </si>
  <si>
    <t>Fim TU</t>
  </si>
  <si>
    <t>Início TU</t>
  </si>
  <si>
    <t>Extensão TU (km)</t>
  </si>
  <si>
    <t>Santa Cruz do Sul</t>
  </si>
  <si>
    <t>Vera Cruz</t>
  </si>
  <si>
    <t>Candelária</t>
  </si>
  <si>
    <t>Agudo</t>
  </si>
  <si>
    <t>Tabaí, Taquari</t>
  </si>
  <si>
    <t>Taquari, Bom Retiro do Sul</t>
  </si>
  <si>
    <t>Municípios</t>
  </si>
  <si>
    <t>Bom Retiro do Sul, Venâncio Aires</t>
  </si>
  <si>
    <t>Venâncio Aires</t>
  </si>
  <si>
    <t>Venâncio Aires, Santa Cruz do Sul</t>
  </si>
  <si>
    <t>Santa Cruz do Sul, Vera Cruz</t>
  </si>
  <si>
    <t>Vera Cruz, Vale do Sol, Candelária</t>
  </si>
  <si>
    <t>Novo Cabrais</t>
  </si>
  <si>
    <t xml:space="preserve">Candelária, Novo Cabrais </t>
  </si>
  <si>
    <t>Novo Cabrais, Paraíso do Sul</t>
  </si>
  <si>
    <t>Paraíso do Sul, Agudo</t>
  </si>
  <si>
    <t>Agudo, Restinga Sêca</t>
  </si>
  <si>
    <t>Restinga Sêca</t>
  </si>
  <si>
    <t>Restinga Sêca, Santa Maria</t>
  </si>
  <si>
    <t>Código SRE</t>
  </si>
  <si>
    <t>Total</t>
  </si>
  <si>
    <t>122ERS0010</t>
  </si>
  <si>
    <t>122ERS0030</t>
  </si>
  <si>
    <t>122ERS0040</t>
  </si>
  <si>
    <t>122ERS0050</t>
  </si>
  <si>
    <t>122ERS0070</t>
  </si>
  <si>
    <t>122ERS0090</t>
  </si>
  <si>
    <t>122ERS0110</t>
  </si>
  <si>
    <t>Trecho</t>
  </si>
  <si>
    <t>122ERS0130</t>
  </si>
  <si>
    <t>122ERS0140</t>
  </si>
  <si>
    <t>122ERS0145</t>
  </si>
  <si>
    <t>122ERS0150</t>
  </si>
  <si>
    <t>122ERS0160</t>
  </si>
  <si>
    <t>122ERS0170</t>
  </si>
  <si>
    <t>122ERS0190</t>
  </si>
  <si>
    <t>240ERS0010</t>
  </si>
  <si>
    <t>240ERS0020</t>
  </si>
  <si>
    <t>240ERS0030</t>
  </si>
  <si>
    <t>240ERS0040</t>
  </si>
  <si>
    <t>240ERS0050</t>
  </si>
  <si>
    <t>287RSC0010</t>
  </si>
  <si>
    <t>287RSC0020</t>
  </si>
  <si>
    <t>287RSC0025</t>
  </si>
  <si>
    <t>287RSC0027</t>
  </si>
  <si>
    <t>446ERS0010</t>
  </si>
  <si>
    <t>446ERS0020</t>
  </si>
  <si>
    <t>453RSC0150</t>
  </si>
  <si>
    <t>453RSC0160</t>
  </si>
  <si>
    <t>453RSC0170</t>
  </si>
  <si>
    <t>453RSC0180</t>
  </si>
  <si>
    <t>470BRS0420</t>
  </si>
  <si>
    <t>470BRS0430</t>
  </si>
  <si>
    <t>470BRS0450</t>
  </si>
  <si>
    <t>Acesso a Caravaggio</t>
  </si>
  <si>
    <t>Acesso a São Vendelino</t>
  </si>
  <si>
    <t>Acesso a Capela de Santana</t>
  </si>
  <si>
    <t>Acesso a Caxias do Sul</t>
  </si>
  <si>
    <t>Acesso à Linha 40</t>
  </si>
  <si>
    <t>Acesso a Flores da Cunha</t>
  </si>
  <si>
    <t>Passo do Zeferino</t>
  </si>
  <si>
    <t>2.a</t>
  </si>
  <si>
    <t>23.a</t>
  </si>
  <si>
    <t>8.a</t>
  </si>
  <si>
    <t>24.a</t>
  </si>
  <si>
    <t>3.a</t>
  </si>
  <si>
    <t>4.a</t>
  </si>
  <si>
    <t>2.b</t>
  </si>
  <si>
    <t>2.c</t>
  </si>
  <si>
    <t>23.c</t>
  </si>
  <si>
    <t>8.d</t>
  </si>
  <si>
    <t>8.c</t>
  </si>
  <si>
    <t>3.c</t>
  </si>
  <si>
    <t>4.c</t>
  </si>
  <si>
    <t>2.d</t>
  </si>
  <si>
    <t>23.b</t>
  </si>
  <si>
    <t>3.b</t>
  </si>
  <si>
    <t>8.b</t>
  </si>
  <si>
    <t>8.e</t>
  </si>
  <si>
    <t>8.f</t>
  </si>
  <si>
    <t>3.d</t>
  </si>
  <si>
    <t>3.e</t>
  </si>
  <si>
    <t>4.b</t>
  </si>
  <si>
    <t>26.a</t>
  </si>
  <si>
    <t>27.a</t>
  </si>
  <si>
    <t>27.b</t>
  </si>
  <si>
    <t>32.a</t>
  </si>
  <si>
    <t>32.b</t>
  </si>
  <si>
    <t>32.c</t>
  </si>
  <si>
    <t>28.a</t>
  </si>
  <si>
    <t>28.b</t>
  </si>
  <si>
    <t>28.c</t>
  </si>
  <si>
    <t>28.d</t>
  </si>
  <si>
    <t>Extensão trecho (km)</t>
  </si>
  <si>
    <t>Entr. ERS-437(B) (Ipê)</t>
  </si>
  <si>
    <t>Entr. ERS-444 (B)</t>
  </si>
  <si>
    <t>Entr. RSC-453 (A)</t>
  </si>
  <si>
    <t>Entr. RSC-453 (B)</t>
  </si>
  <si>
    <t>Entr. ERS-446</t>
  </si>
  <si>
    <t>Entr. ERS-240 (Rincão do Cascalho)</t>
  </si>
  <si>
    <t>São Sebastião do Caí (Viaduto no Fim do Contorno)</t>
  </si>
  <si>
    <t>Entr. ERS-452 (p/ Feliz)</t>
  </si>
  <si>
    <t>Entr. BRS-116 (Vila Scharlau)</t>
  </si>
  <si>
    <t>Entr. ERS-122 (p/ Rincão do Cascalho)</t>
  </si>
  <si>
    <t>Entr. RSC-470(B) (p/ Triunfo)</t>
  </si>
  <si>
    <t>Entr. ERS-124(B) (p/ Polo Petroquímico)</t>
  </si>
  <si>
    <t>Entr. RSC-453(B) (Caxias do Sul)</t>
  </si>
  <si>
    <t>Bom Princípio (Ponte sobre o Rio Caí)</t>
  </si>
  <si>
    <t>Entr. RSC-470(A)/ERS-124(A)/ERS-240 (Montenegro)</t>
  </si>
  <si>
    <t>Entr. ERS-437(A) (Antônio Prado)</t>
  </si>
  <si>
    <t>Entr. ERS-446 (p/ São Vendelino)</t>
  </si>
  <si>
    <t>Entr. RSC-453(A) (p/ Farroupilha)</t>
  </si>
  <si>
    <t>Entr. ERS-411 (p/ Brochier)</t>
  </si>
  <si>
    <t>Entr. ERS-122 (p/ São Vendelino)</t>
  </si>
  <si>
    <t>Entr. BRS-470(B) (p/ Bento Gonçalves)</t>
  </si>
  <si>
    <t>Entr. ERS-444 (p/ Bento Gonçalves)</t>
  </si>
  <si>
    <t>Entr. ERS-448 (p/ Nova Roma do Sul)</t>
  </si>
  <si>
    <t>Entr. ERS-239 (p/ Estância Velha)</t>
  </si>
  <si>
    <t>Entr. ERS-124(A) (p/ Pareci Novo)</t>
  </si>
  <si>
    <t>Entr. VRS-814 (p/ Nova Pádua)</t>
  </si>
  <si>
    <t>Entr. BRS-116 (p/ Campestre da Serra)</t>
  </si>
  <si>
    <t xml:space="preserve">Entr. RSC-453(A) (p/ Farroupilha) </t>
  </si>
  <si>
    <t>Entr. BRS-386(A) (p/ Nova Santa Rita)</t>
  </si>
  <si>
    <t>Entr. BRS-470 (Carlos Barbosa)</t>
  </si>
  <si>
    <t>Entr. ERS-122(A) (p/ Farroupilha)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</si>
</sst>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49"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79E85B-E3CC-4424-B1D9-D02C84350003}" name="Tabela1" displayName="Tabela1" ref="A1:M22" totalsRowCount="1" headerRowDxfId="48" dataDxfId="47">
  <autoFilter ref="A1:M21" xr:uid="{7079E85B-E3CC-4424-B1D9-D02C84350003}"/>
  <tableColumns count="13">
    <tableColumn id="1" xr3:uid="{57E74145-F3DF-4529-BA35-9F056A0FC1F0}" name="Subtrecho" totalsRowLabel="Total"/>
    <tableColumn id="3" xr3:uid="{60B2EDC9-73EB-4FB6-943B-F7FC7B74594D}" name="Código SRE"/>
    <tableColumn id="4" xr3:uid="{267E23E8-030C-412C-BA06-68270B55F340}" name="Início"/>
    <tableColumn id="5" xr3:uid="{BFCBA879-2350-4A5D-B884-19FCE308FA45}" name="Fim"/>
    <tableColumn id="6" xr3:uid="{40642683-B95A-4DF5-A252-66897FB4509A}" name="km inicial" dataDxfId="46" totalsRowDxfId="45"/>
    <tableColumn id="7" xr3:uid="{3482C4F3-8D2E-4282-8215-C0013FBCB9B7}" name="km final" dataDxfId="44" totalsRowDxfId="43"/>
    <tableColumn id="8" xr3:uid="{BEAD2F13-A3ED-46EE-9B1F-D5A563A87C0A}" name="Extensão (km)" totalsRowFunction="sum" dataDxfId="42" totalsRowDxfId="41">
      <calculatedColumnFormula>F2-E2</calculatedColumnFormula>
    </tableColumn>
    <tableColumn id="9" xr3:uid="{5E181781-2A48-4B9C-AAB7-7520D203299A}" name="Subtrecho homogêneo" dataDxfId="40" totalsRowDxfId="39"/>
    <tableColumn id="10" xr3:uid="{B5979B11-52CF-45CF-8981-F93F38D9EF05}" name="Extensão ST (km)" dataDxfId="38" totalsRowDxfId="37">
      <calculatedColumnFormula>SUMIF($H$2:$H$21,H2,$G$2:$G$21)</calculatedColumnFormula>
    </tableColumn>
    <tableColumn id="12" xr3:uid="{3872E842-1AB7-43BF-9C4E-E0045863F596}" name="Início TU" dataDxfId="36" totalsRowDxfId="35"/>
    <tableColumn id="13" xr3:uid="{E0476005-B56C-482B-85A0-E6B8CC88E578}" name="Fim TU" dataDxfId="34" totalsRowDxfId="33"/>
    <tableColumn id="14" xr3:uid="{F48DDC14-0441-4AFA-98FE-12C15A665BD9}" name="Extensão TU (km)" totalsRowFunction="sum" dataDxfId="32" totalsRowDxfId="31">
      <calculatedColumnFormula>Tabela1[[#This Row],[Fim TU]]-Tabela1[[#This Row],[Início TU]]</calculatedColumnFormula>
    </tableColumn>
    <tableColumn id="15" xr3:uid="{F77B3A0A-F8D2-4846-81DA-1A3FD1937090}" name="Municípios" dataDxfId="30" totalsRowDxfId="2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A13EF9-4CFF-435B-8B40-7F3F957E307A}" name="Tabela134" displayName="Tabela134" ref="A1:M37" totalsRowCount="1" headerRowDxfId="28" dataDxfId="27" totalsRowDxfId="26">
  <autoFilter ref="A1:M36" xr:uid="{5A0C0F4A-5A96-4D1B-B376-C6DB0904355F}"/>
  <sortState xmlns:xlrd2="http://schemas.microsoft.com/office/spreadsheetml/2017/richdata2" ref="A2:M36">
    <sortCondition ref="C1:C36"/>
  </sortState>
  <tableColumns count="13">
    <tableColumn id="1" xr3:uid="{84AA27E8-B9DA-4796-9D3D-210E91BA0275}" name="Trecho" totalsRowLabel="Total" dataDxfId="13" totalsRowDxfId="12"/>
    <tableColumn id="9" xr3:uid="{C9EEAF9F-E704-44C3-BAF3-1D15F15CF437}" name="Subtrecho" dataDxfId="14" totalsRowDxfId="11"/>
    <tableColumn id="3" xr3:uid="{7394A3EB-6A47-4919-B176-A5C7D047F72F}" name="Código SRE" dataDxfId="15" totalsRowDxfId="10"/>
    <tableColumn id="4" xr3:uid="{E14E4591-2EC0-4809-8B96-781B52282EA5}" name="Início" dataDxfId="25" totalsRowDxfId="9"/>
    <tableColumn id="5" xr3:uid="{38E5F61F-6302-49A1-B638-9427CB411418}" name="Fim" dataDxfId="24" totalsRowDxfId="8"/>
    <tableColumn id="6" xr3:uid="{62508F38-1EB0-419F-A902-F863ED0E1940}" name="km inicial" dataDxfId="23" totalsRowDxfId="7"/>
    <tableColumn id="7" xr3:uid="{9548DF66-5DEF-4F78-8ACB-626E4D95F4EF}" name="km final" dataDxfId="22" totalsRowDxfId="6"/>
    <tableColumn id="8" xr3:uid="{CC6F112E-6CEF-42C0-96BB-C7C2DAEBFB35}" name="Extensão (km)" totalsRowFunction="sum" dataDxfId="21" totalsRowDxfId="5">
      <calculatedColumnFormula>G2-F2</calculatedColumnFormula>
    </tableColumn>
    <tableColumn id="10" xr3:uid="{CED361D5-4EB4-4918-8BA8-1AA6D7F1EC08}" name="Extensão trecho (km)" dataDxfId="20" totalsRowDxfId="4">
      <calculatedColumnFormula>SUMIF($A$2:$A$36,A2,$H$2:$H$36)</calculatedColumnFormula>
    </tableColumn>
    <tableColumn id="12" xr3:uid="{8EDD5A50-D53C-42DE-B0F3-48A0253201E4}" name="Início TU" dataDxfId="19" totalsRowDxfId="3"/>
    <tableColumn id="13" xr3:uid="{F292A712-DA67-45BE-96D2-09AEDD2C432F}" name="Fim TU" dataDxfId="18" totalsRowDxfId="2"/>
    <tableColumn id="14" xr3:uid="{B96053D4-F9A6-411E-AAF1-D7232CEA84AD}" name="Extensão TU (km)" totalsRowFunction="sum" dataDxfId="17" totalsRowDxfId="1">
      <calculatedColumnFormula>Tabela134[[#This Row],[Fim TU]]-Tabela134[[#This Row],[Início TU]]</calculatedColumnFormula>
    </tableColumn>
    <tableColumn id="15" xr3:uid="{A1E0009B-FE9F-4018-8FC5-40C59517F766}" name="Municípios" dataDxfId="16" totalsRow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workbookViewId="0">
      <selection activeCell="B33" sqref="B33"/>
    </sheetView>
  </sheetViews>
  <sheetFormatPr defaultRowHeight="14.4" x14ac:dyDescent="0.3"/>
  <cols>
    <col min="1" max="1" width="11.88671875" bestFit="1" customWidth="1"/>
    <col min="2" max="2" width="12.6640625" bestFit="1" customWidth="1"/>
    <col min="3" max="4" width="33.77734375" bestFit="1" customWidth="1"/>
    <col min="5" max="5" width="13.33203125" style="1" bestFit="1" customWidth="1"/>
    <col min="6" max="6" width="12.21875" style="1" bestFit="1" customWidth="1"/>
    <col min="7" max="7" width="17.5546875" style="1" bestFit="1" customWidth="1"/>
    <col min="8" max="8" width="25" style="1" bestFit="1" customWidth="1"/>
    <col min="9" max="9" width="18.5546875" style="1" bestFit="1" customWidth="1"/>
    <col min="10" max="10" width="12.77734375" bestFit="1" customWidth="1"/>
    <col min="11" max="11" width="11.21875" bestFit="1" customWidth="1"/>
    <col min="12" max="12" width="20.33203125" bestFit="1" customWidth="1"/>
    <col min="13" max="13" width="32.21875" bestFit="1" customWidth="1"/>
  </cols>
  <sheetData>
    <row r="1" spans="1:13" x14ac:dyDescent="0.3">
      <c r="A1" t="s">
        <v>0</v>
      </c>
      <c r="B1" t="s">
        <v>82</v>
      </c>
      <c r="C1" t="s">
        <v>1</v>
      </c>
      <c r="D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61</v>
      </c>
      <c r="K1" s="1" t="s">
        <v>60</v>
      </c>
      <c r="L1" s="1" t="s">
        <v>62</v>
      </c>
      <c r="M1" s="1" t="s">
        <v>69</v>
      </c>
    </row>
    <row r="2" spans="1:13" x14ac:dyDescent="0.3">
      <c r="A2">
        <v>1</v>
      </c>
      <c r="B2" t="s">
        <v>18</v>
      </c>
      <c r="C2" t="s">
        <v>38</v>
      </c>
      <c r="D2" t="s">
        <v>39</v>
      </c>
      <c r="E2" s="2">
        <v>28.03</v>
      </c>
      <c r="F2" s="2">
        <v>36.76</v>
      </c>
      <c r="G2" s="2">
        <f>F2-E2</f>
        <v>8.7299999999999969</v>
      </c>
      <c r="H2" s="1" t="s">
        <v>7</v>
      </c>
      <c r="I2" s="2">
        <f t="shared" ref="I2:I21" si="0">SUMIF($H$2:$H$21,H2,$G$2:$G$21)</f>
        <v>8.7299999999999969</v>
      </c>
      <c r="J2" s="2">
        <v>28.54</v>
      </c>
      <c r="K2" s="2">
        <v>30</v>
      </c>
      <c r="L2" s="2">
        <f>Tabela1[[#This Row],[Fim TU]]-Tabela1[[#This Row],[Início TU]]</f>
        <v>1.4600000000000009</v>
      </c>
      <c r="M2" s="2" t="s">
        <v>67</v>
      </c>
    </row>
    <row r="3" spans="1:13" x14ac:dyDescent="0.3">
      <c r="A3">
        <v>2</v>
      </c>
      <c r="B3" t="s">
        <v>19</v>
      </c>
      <c r="C3" t="s">
        <v>39</v>
      </c>
      <c r="D3" t="s">
        <v>40</v>
      </c>
      <c r="E3" s="2">
        <v>36.76</v>
      </c>
      <c r="F3" s="2">
        <v>54.66</v>
      </c>
      <c r="G3" s="2">
        <f>F3-E3</f>
        <v>17.899999999999999</v>
      </c>
      <c r="H3" s="1" t="s">
        <v>8</v>
      </c>
      <c r="I3" s="2">
        <f t="shared" si="0"/>
        <v>18.75</v>
      </c>
      <c r="J3" s="2"/>
      <c r="K3" s="2"/>
      <c r="L3" s="2">
        <f>Tabela1[[#This Row],[Fim TU]]-Tabela1[[#This Row],[Início TU]]</f>
        <v>0</v>
      </c>
      <c r="M3" s="2" t="s">
        <v>68</v>
      </c>
    </row>
    <row r="4" spans="1:13" x14ac:dyDescent="0.3">
      <c r="A4">
        <v>3</v>
      </c>
      <c r="B4" t="s">
        <v>20</v>
      </c>
      <c r="C4" t="s">
        <v>40</v>
      </c>
      <c r="D4" t="s">
        <v>41</v>
      </c>
      <c r="E4" s="2">
        <v>54.66</v>
      </c>
      <c r="F4" s="2">
        <v>55.51</v>
      </c>
      <c r="G4" s="2">
        <f t="shared" ref="G4:G21" si="1">F4-E4</f>
        <v>0.85000000000000142</v>
      </c>
      <c r="H4" s="1" t="s">
        <v>8</v>
      </c>
      <c r="I4" s="2">
        <f t="shared" si="0"/>
        <v>18.75</v>
      </c>
      <c r="J4" s="2"/>
      <c r="K4" s="2"/>
      <c r="L4" s="2">
        <f>Tabela1[[#This Row],[Fim TU]]-Tabela1[[#This Row],[Início TU]]</f>
        <v>0</v>
      </c>
      <c r="M4" s="2" t="s">
        <v>70</v>
      </c>
    </row>
    <row r="5" spans="1:13" x14ac:dyDescent="0.3">
      <c r="A5">
        <v>4</v>
      </c>
      <c r="B5" t="s">
        <v>21</v>
      </c>
      <c r="C5" t="s">
        <v>41</v>
      </c>
      <c r="D5" t="s">
        <v>42</v>
      </c>
      <c r="E5" s="2">
        <v>55.51</v>
      </c>
      <c r="F5" s="2">
        <v>78.510000000000005</v>
      </c>
      <c r="G5" s="2">
        <f t="shared" si="1"/>
        <v>23.000000000000007</v>
      </c>
      <c r="H5" s="1" t="s">
        <v>9</v>
      </c>
      <c r="I5" s="2">
        <f t="shared" si="0"/>
        <v>23.000000000000007</v>
      </c>
      <c r="J5" s="2"/>
      <c r="K5" s="2"/>
      <c r="L5" s="2">
        <f>Tabela1[[#This Row],[Fim TU]]-Tabela1[[#This Row],[Início TU]]</f>
        <v>0</v>
      </c>
      <c r="M5" s="2" t="s">
        <v>71</v>
      </c>
    </row>
    <row r="6" spans="1:13" x14ac:dyDescent="0.3">
      <c r="A6">
        <v>5</v>
      </c>
      <c r="B6" t="s">
        <v>22</v>
      </c>
      <c r="C6" t="s">
        <v>42</v>
      </c>
      <c r="D6" t="s">
        <v>43</v>
      </c>
      <c r="E6" s="2">
        <v>78.510000000000005</v>
      </c>
      <c r="F6" s="2">
        <v>91.42</v>
      </c>
      <c r="G6" s="2">
        <f t="shared" si="1"/>
        <v>12.909999999999997</v>
      </c>
      <c r="H6" s="1" t="s">
        <v>10</v>
      </c>
      <c r="I6" s="2">
        <f t="shared" si="0"/>
        <v>12.909999999999997</v>
      </c>
      <c r="J6" s="2"/>
      <c r="K6" s="2"/>
      <c r="L6" s="2">
        <f>Tabela1[[#This Row],[Fim TU]]-Tabela1[[#This Row],[Início TU]]</f>
        <v>0</v>
      </c>
      <c r="M6" s="2" t="s">
        <v>72</v>
      </c>
    </row>
    <row r="7" spans="1:13" x14ac:dyDescent="0.3">
      <c r="A7">
        <v>6</v>
      </c>
      <c r="B7" t="s">
        <v>23</v>
      </c>
      <c r="C7" t="s">
        <v>43</v>
      </c>
      <c r="D7" t="s">
        <v>44</v>
      </c>
      <c r="E7" s="2">
        <v>91.42</v>
      </c>
      <c r="F7" s="2">
        <v>99.35</v>
      </c>
      <c r="G7" s="2">
        <f t="shared" si="1"/>
        <v>7.9299999999999926</v>
      </c>
      <c r="H7" s="1" t="s">
        <v>11</v>
      </c>
      <c r="I7" s="2">
        <f t="shared" si="0"/>
        <v>13.230000000000004</v>
      </c>
      <c r="J7" s="2"/>
      <c r="K7" s="2"/>
      <c r="L7" s="2">
        <f>Tabela1[[#This Row],[Fim TU]]-Tabela1[[#This Row],[Início TU]]</f>
        <v>0</v>
      </c>
      <c r="M7" s="2" t="s">
        <v>63</v>
      </c>
    </row>
    <row r="8" spans="1:13" x14ac:dyDescent="0.3">
      <c r="A8">
        <v>7</v>
      </c>
      <c r="B8" t="s">
        <v>24</v>
      </c>
      <c r="C8" t="s">
        <v>44</v>
      </c>
      <c r="D8" t="s">
        <v>45</v>
      </c>
      <c r="E8" s="2">
        <v>99.35</v>
      </c>
      <c r="F8" s="2">
        <v>104.19</v>
      </c>
      <c r="G8" s="2">
        <f t="shared" si="1"/>
        <v>4.8400000000000034</v>
      </c>
      <c r="H8" s="1" t="s">
        <v>11</v>
      </c>
      <c r="I8" s="2">
        <f t="shared" si="0"/>
        <v>13.230000000000004</v>
      </c>
      <c r="J8" s="2">
        <v>102</v>
      </c>
      <c r="K8" s="2">
        <v>104.19</v>
      </c>
      <c r="L8" s="2">
        <f>Tabela1[[#This Row],[Fim TU]]-Tabela1[[#This Row],[Início TU]]</f>
        <v>2.1899999999999977</v>
      </c>
      <c r="M8" s="2" t="s">
        <v>63</v>
      </c>
    </row>
    <row r="9" spans="1:13" x14ac:dyDescent="0.3">
      <c r="A9">
        <v>8</v>
      </c>
      <c r="B9" t="s">
        <v>25</v>
      </c>
      <c r="C9" t="s">
        <v>45</v>
      </c>
      <c r="D9" t="s">
        <v>46</v>
      </c>
      <c r="E9" s="2">
        <v>104.19</v>
      </c>
      <c r="F9" s="2">
        <v>104.65</v>
      </c>
      <c r="G9" s="2">
        <f t="shared" si="1"/>
        <v>0.46000000000000796</v>
      </c>
      <c r="H9" s="1" t="s">
        <v>11</v>
      </c>
      <c r="I9" s="2">
        <f t="shared" si="0"/>
        <v>13.230000000000004</v>
      </c>
      <c r="J9" s="2">
        <v>104.19</v>
      </c>
      <c r="K9" s="2">
        <v>104.65</v>
      </c>
      <c r="L9" s="2">
        <f>Tabela1[[#This Row],[Fim TU]]-Tabela1[[#This Row],[Início TU]]</f>
        <v>0.46000000000000796</v>
      </c>
      <c r="M9" s="2" t="s">
        <v>63</v>
      </c>
    </row>
    <row r="10" spans="1:13" x14ac:dyDescent="0.3">
      <c r="A10">
        <v>9</v>
      </c>
      <c r="B10" t="s">
        <v>26</v>
      </c>
      <c r="C10" t="s">
        <v>46</v>
      </c>
      <c r="D10" t="s">
        <v>47</v>
      </c>
      <c r="E10" s="2">
        <v>104.65</v>
      </c>
      <c r="F10" s="2">
        <v>115.7</v>
      </c>
      <c r="G10" s="2">
        <f t="shared" si="1"/>
        <v>11.049999999999997</v>
      </c>
      <c r="H10" s="1" t="s">
        <v>12</v>
      </c>
      <c r="I10" s="2">
        <f t="shared" si="0"/>
        <v>11.049999999999997</v>
      </c>
      <c r="J10" s="2"/>
      <c r="K10" s="2"/>
      <c r="L10" s="2">
        <f>Tabela1[[#This Row],[Fim TU]]-Tabela1[[#This Row],[Início TU]]</f>
        <v>0</v>
      </c>
      <c r="M10" s="2" t="s">
        <v>73</v>
      </c>
    </row>
    <row r="11" spans="1:13" x14ac:dyDescent="0.3">
      <c r="A11">
        <v>10</v>
      </c>
      <c r="B11" t="s">
        <v>27</v>
      </c>
      <c r="C11" t="s">
        <v>47</v>
      </c>
      <c r="D11" t="s">
        <v>48</v>
      </c>
      <c r="E11" s="2">
        <v>115.7</v>
      </c>
      <c r="F11" s="2">
        <v>116.7</v>
      </c>
      <c r="G11" s="2">
        <f t="shared" si="1"/>
        <v>1</v>
      </c>
      <c r="H11" s="1" t="s">
        <v>13</v>
      </c>
      <c r="I11" s="2">
        <f t="shared" si="0"/>
        <v>24.38000000000001</v>
      </c>
      <c r="J11" s="2"/>
      <c r="K11" s="2"/>
      <c r="L11" s="2">
        <f>Tabela1[[#This Row],[Fim TU]]-Tabela1[[#This Row],[Início TU]]</f>
        <v>0</v>
      </c>
      <c r="M11" s="2" t="s">
        <v>64</v>
      </c>
    </row>
    <row r="12" spans="1:13" x14ac:dyDescent="0.3">
      <c r="A12">
        <v>11</v>
      </c>
      <c r="B12" t="s">
        <v>28</v>
      </c>
      <c r="C12" t="s">
        <v>48</v>
      </c>
      <c r="D12" t="s">
        <v>50</v>
      </c>
      <c r="E12" s="2">
        <v>116.7</v>
      </c>
      <c r="F12" s="2">
        <v>138.57</v>
      </c>
      <c r="G12" s="2">
        <f t="shared" si="1"/>
        <v>21.86999999999999</v>
      </c>
      <c r="H12" s="1" t="s">
        <v>13</v>
      </c>
      <c r="I12" s="2">
        <f t="shared" si="0"/>
        <v>24.38000000000001</v>
      </c>
      <c r="J12" s="2">
        <v>137.58000000000001</v>
      </c>
      <c r="K12" s="2">
        <v>138.57</v>
      </c>
      <c r="L12" s="2">
        <f>Tabela1[[#This Row],[Fim TU]]-Tabela1[[#This Row],[Início TU]]</f>
        <v>0.98999999999998067</v>
      </c>
      <c r="M12" s="2" t="s">
        <v>74</v>
      </c>
    </row>
    <row r="13" spans="1:13" x14ac:dyDescent="0.3">
      <c r="A13">
        <v>12</v>
      </c>
      <c r="B13" t="s">
        <v>29</v>
      </c>
      <c r="C13" t="s">
        <v>50</v>
      </c>
      <c r="D13" t="s">
        <v>49</v>
      </c>
      <c r="E13" s="2">
        <v>138.57</v>
      </c>
      <c r="F13" s="2">
        <v>140.08000000000001</v>
      </c>
      <c r="G13" s="2">
        <f t="shared" si="1"/>
        <v>1.5100000000000193</v>
      </c>
      <c r="H13" s="1" t="s">
        <v>13</v>
      </c>
      <c r="I13" s="2">
        <f t="shared" si="0"/>
        <v>24.38000000000001</v>
      </c>
      <c r="J13" s="2">
        <v>138.57</v>
      </c>
      <c r="K13" s="2">
        <v>140.08000000000001</v>
      </c>
      <c r="L13" s="2">
        <f>Tabela1[[#This Row],[Fim TU]]-Tabela1[[#This Row],[Início TU]]</f>
        <v>1.5100000000000193</v>
      </c>
      <c r="M13" s="2" t="s">
        <v>65</v>
      </c>
    </row>
    <row r="14" spans="1:13" x14ac:dyDescent="0.3">
      <c r="A14">
        <v>13</v>
      </c>
      <c r="B14" t="s">
        <v>30</v>
      </c>
      <c r="C14" t="s">
        <v>49</v>
      </c>
      <c r="D14" t="s">
        <v>51</v>
      </c>
      <c r="E14" s="2">
        <v>140.08000000000001</v>
      </c>
      <c r="F14" s="2">
        <v>156.46</v>
      </c>
      <c r="G14" s="2">
        <f t="shared" si="1"/>
        <v>16.379999999999995</v>
      </c>
      <c r="H14" s="1" t="s">
        <v>14</v>
      </c>
      <c r="I14" s="2">
        <f t="shared" si="0"/>
        <v>18.079999999999984</v>
      </c>
      <c r="J14" s="2">
        <v>140.08000000000001</v>
      </c>
      <c r="K14" s="2">
        <v>141.49</v>
      </c>
      <c r="L14" s="2">
        <f>Tabela1[[#This Row],[Fim TU]]-Tabela1[[#This Row],[Início TU]]</f>
        <v>1.4099999999999966</v>
      </c>
      <c r="M14" s="2" t="s">
        <v>76</v>
      </c>
    </row>
    <row r="15" spans="1:13" x14ac:dyDescent="0.3">
      <c r="A15">
        <v>14</v>
      </c>
      <c r="B15" t="s">
        <v>31</v>
      </c>
      <c r="C15" t="s">
        <v>51</v>
      </c>
      <c r="D15" t="s">
        <v>52</v>
      </c>
      <c r="E15" s="2">
        <v>156.46</v>
      </c>
      <c r="F15" s="2">
        <v>158.16</v>
      </c>
      <c r="G15" s="2">
        <f t="shared" si="1"/>
        <v>1.6999999999999886</v>
      </c>
      <c r="H15" s="1" t="s">
        <v>14</v>
      </c>
      <c r="I15" s="2">
        <f t="shared" si="0"/>
        <v>18.079999999999984</v>
      </c>
      <c r="J15" s="2">
        <v>156.46</v>
      </c>
      <c r="K15" s="2">
        <v>157.47999999999999</v>
      </c>
      <c r="L15" s="2">
        <f>Tabela1[[#This Row],[Fim TU]]-Tabela1[[#This Row],[Início TU]]</f>
        <v>1.0199999999999818</v>
      </c>
      <c r="M15" s="2" t="s">
        <v>75</v>
      </c>
    </row>
    <row r="16" spans="1:13" x14ac:dyDescent="0.3">
      <c r="A16">
        <v>15</v>
      </c>
      <c r="B16" t="s">
        <v>32</v>
      </c>
      <c r="C16" t="s">
        <v>52</v>
      </c>
      <c r="D16" t="s">
        <v>53</v>
      </c>
      <c r="E16" s="2">
        <v>158.16</v>
      </c>
      <c r="F16" s="2">
        <v>176.68</v>
      </c>
      <c r="G16" s="2">
        <f t="shared" si="1"/>
        <v>18.52000000000001</v>
      </c>
      <c r="H16" s="1" t="s">
        <v>15</v>
      </c>
      <c r="I16" s="2">
        <f t="shared" si="0"/>
        <v>18.52000000000001</v>
      </c>
      <c r="J16" s="2"/>
      <c r="K16" s="2"/>
      <c r="L16" s="2">
        <f>Tabela1[[#This Row],[Fim TU]]-Tabela1[[#This Row],[Início TU]]</f>
        <v>0</v>
      </c>
      <c r="M16" s="2" t="s">
        <v>77</v>
      </c>
    </row>
    <row r="17" spans="1:13" x14ac:dyDescent="0.3">
      <c r="A17">
        <v>16</v>
      </c>
      <c r="B17" t="s">
        <v>33</v>
      </c>
      <c r="C17" t="s">
        <v>53</v>
      </c>
      <c r="D17" t="s">
        <v>54</v>
      </c>
      <c r="E17" s="2">
        <v>176.68</v>
      </c>
      <c r="F17" s="2">
        <v>184.49</v>
      </c>
      <c r="G17" s="2">
        <f t="shared" si="1"/>
        <v>7.8100000000000023</v>
      </c>
      <c r="H17" s="1" t="s">
        <v>16</v>
      </c>
      <c r="I17" s="2">
        <f t="shared" si="0"/>
        <v>20.53</v>
      </c>
      <c r="J17" s="2">
        <v>179.69</v>
      </c>
      <c r="K17" s="2">
        <v>180.83</v>
      </c>
      <c r="L17" s="2">
        <f>Tabela1[[#This Row],[Fim TU]]-Tabela1[[#This Row],[Início TU]]</f>
        <v>1.1400000000000148</v>
      </c>
      <c r="M17" s="2" t="s">
        <v>78</v>
      </c>
    </row>
    <row r="18" spans="1:13" x14ac:dyDescent="0.3">
      <c r="A18">
        <v>17</v>
      </c>
      <c r="B18" t="s">
        <v>34</v>
      </c>
      <c r="C18" t="s">
        <v>54</v>
      </c>
      <c r="D18" t="s">
        <v>55</v>
      </c>
      <c r="E18" s="2">
        <v>184.49</v>
      </c>
      <c r="F18" s="2">
        <v>187.13</v>
      </c>
      <c r="G18" s="2">
        <f t="shared" si="1"/>
        <v>2.6399999999999864</v>
      </c>
      <c r="H18" s="1" t="s">
        <v>16</v>
      </c>
      <c r="I18" s="2">
        <f t="shared" si="0"/>
        <v>20.53</v>
      </c>
      <c r="J18" s="2"/>
      <c r="K18" s="2"/>
      <c r="L18" s="2">
        <f>Tabela1[[#This Row],[Fim TU]]-Tabela1[[#This Row],[Início TU]]</f>
        <v>0</v>
      </c>
      <c r="M18" s="2" t="s">
        <v>66</v>
      </c>
    </row>
    <row r="19" spans="1:13" x14ac:dyDescent="0.3">
      <c r="A19">
        <v>18</v>
      </c>
      <c r="B19" t="s">
        <v>35</v>
      </c>
      <c r="C19" t="s">
        <v>55</v>
      </c>
      <c r="D19" t="s">
        <v>56</v>
      </c>
      <c r="E19" s="2">
        <v>187.13</v>
      </c>
      <c r="F19" s="2">
        <v>197.21</v>
      </c>
      <c r="G19" s="2">
        <f t="shared" si="1"/>
        <v>10.080000000000013</v>
      </c>
      <c r="H19" s="1" t="s">
        <v>16</v>
      </c>
      <c r="I19" s="2">
        <f t="shared" si="0"/>
        <v>20.53</v>
      </c>
      <c r="J19" s="2"/>
      <c r="K19" s="2"/>
      <c r="L19" s="2">
        <f>Tabela1[[#This Row],[Fim TU]]-Tabela1[[#This Row],[Início TU]]</f>
        <v>0</v>
      </c>
      <c r="M19" s="2" t="s">
        <v>79</v>
      </c>
    </row>
    <row r="20" spans="1:13" x14ac:dyDescent="0.3">
      <c r="A20">
        <v>19</v>
      </c>
      <c r="B20" t="s">
        <v>36</v>
      </c>
      <c r="C20" t="s">
        <v>56</v>
      </c>
      <c r="D20" t="s">
        <v>57</v>
      </c>
      <c r="E20" s="2">
        <v>197.21</v>
      </c>
      <c r="F20" s="2">
        <v>213.22</v>
      </c>
      <c r="G20" s="2">
        <f t="shared" si="1"/>
        <v>16.009999999999991</v>
      </c>
      <c r="H20" s="1" t="s">
        <v>17</v>
      </c>
      <c r="I20" s="2">
        <f t="shared" si="0"/>
        <v>35.329999999999984</v>
      </c>
      <c r="J20" s="2"/>
      <c r="K20" s="2"/>
      <c r="L20" s="2">
        <f>Tabela1[[#This Row],[Fim TU]]-Tabela1[[#This Row],[Início TU]]</f>
        <v>0</v>
      </c>
      <c r="M20" s="2" t="s">
        <v>80</v>
      </c>
    </row>
    <row r="21" spans="1:13" x14ac:dyDescent="0.3">
      <c r="A21">
        <v>20</v>
      </c>
      <c r="B21" t="s">
        <v>37</v>
      </c>
      <c r="C21" t="s">
        <v>57</v>
      </c>
      <c r="D21" t="s">
        <v>58</v>
      </c>
      <c r="E21" s="2">
        <v>213.22</v>
      </c>
      <c r="F21" s="2">
        <v>232.54</v>
      </c>
      <c r="G21" s="2">
        <f t="shared" si="1"/>
        <v>19.319999999999993</v>
      </c>
      <c r="H21" s="1" t="s">
        <v>17</v>
      </c>
      <c r="I21" s="2">
        <f t="shared" si="0"/>
        <v>35.329999999999984</v>
      </c>
      <c r="J21" s="2">
        <v>231</v>
      </c>
      <c r="K21" s="2">
        <v>232.54</v>
      </c>
      <c r="L21" s="2">
        <f>Tabela1[[#This Row],[Fim TU]]-Tabela1[[#This Row],[Início TU]]</f>
        <v>1.539999999999992</v>
      </c>
      <c r="M21" s="2" t="s">
        <v>81</v>
      </c>
    </row>
    <row r="22" spans="1:13" x14ac:dyDescent="0.3">
      <c r="A22" t="s">
        <v>83</v>
      </c>
      <c r="G22" s="2">
        <f>SUBTOTAL(109,Tabela1[Extensão (km)])</f>
        <v>204.51</v>
      </c>
      <c r="J22" s="1"/>
      <c r="K22" s="1"/>
      <c r="L22" s="2">
        <f>SUBTOTAL(109,Tabela1[Extensão TU (km)])</f>
        <v>11.719999999999992</v>
      </c>
      <c r="M2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467C3-F4C2-4320-92AA-2E5D39790573}">
  <dimension ref="A1:M37"/>
  <sheetViews>
    <sheetView tabSelected="1" workbookViewId="0">
      <selection activeCell="C27" sqref="C27"/>
    </sheetView>
  </sheetViews>
  <sheetFormatPr defaultRowHeight="14.4" x14ac:dyDescent="0.3"/>
  <cols>
    <col min="1" max="1" width="11.21875" style="4" bestFit="1" customWidth="1"/>
    <col min="2" max="2" width="14.109375" style="3" bestFit="1" customWidth="1"/>
    <col min="3" max="3" width="12.6640625" bestFit="1" customWidth="1"/>
    <col min="4" max="5" width="46.21875" style="3" bestFit="1" customWidth="1"/>
    <col min="6" max="6" width="13.5546875" style="3" bestFit="1" customWidth="1"/>
    <col min="7" max="7" width="12.33203125" style="3" bestFit="1" customWidth="1"/>
    <col min="8" max="8" width="17.77734375" style="3" bestFit="1" customWidth="1"/>
    <col min="9" max="9" width="23.88671875" bestFit="1" customWidth="1"/>
    <col min="10" max="10" width="23.88671875" style="3" bestFit="1" customWidth="1"/>
    <col min="11" max="11" width="12.88671875" style="3" bestFit="1" customWidth="1"/>
    <col min="12" max="13" width="20.5546875" style="3" bestFit="1" customWidth="1"/>
    <col min="14" max="14" width="15" style="3" bestFit="1" customWidth="1"/>
    <col min="15" max="15" width="30.77734375" style="3" bestFit="1" customWidth="1"/>
    <col min="16" max="16384" width="8.88671875" style="3"/>
  </cols>
  <sheetData>
    <row r="1" spans="1:13" x14ac:dyDescent="0.3">
      <c r="A1" s="4" t="s">
        <v>91</v>
      </c>
      <c r="B1" s="4" t="s">
        <v>0</v>
      </c>
      <c r="C1" s="3" t="s">
        <v>82</v>
      </c>
      <c r="D1" s="3" t="s">
        <v>1</v>
      </c>
      <c r="E1" s="3" t="s">
        <v>2</v>
      </c>
      <c r="F1" s="4" t="s">
        <v>3</v>
      </c>
      <c r="G1" s="4" t="s">
        <v>4</v>
      </c>
      <c r="H1" s="4" t="s">
        <v>5</v>
      </c>
      <c r="I1" s="4" t="s">
        <v>156</v>
      </c>
      <c r="J1" s="4" t="s">
        <v>61</v>
      </c>
      <c r="K1" s="4" t="s">
        <v>60</v>
      </c>
      <c r="L1" s="4" t="s">
        <v>62</v>
      </c>
      <c r="M1" s="4" t="s">
        <v>69</v>
      </c>
    </row>
    <row r="2" spans="1:13" x14ac:dyDescent="0.3">
      <c r="A2" s="4">
        <v>2</v>
      </c>
      <c r="B2" s="4" t="s">
        <v>124</v>
      </c>
      <c r="C2" s="3" t="s">
        <v>84</v>
      </c>
      <c r="D2" s="5" t="s">
        <v>162</v>
      </c>
      <c r="E2" s="5" t="s">
        <v>163</v>
      </c>
      <c r="F2" s="6">
        <v>0</v>
      </c>
      <c r="G2" s="6">
        <v>15.55</v>
      </c>
      <c r="H2" s="6">
        <f>G2-F2</f>
        <v>15.55</v>
      </c>
      <c r="I2" s="6">
        <f>SUMIF($A$2:$A$36,A2,$H$2:$H$36)</f>
        <v>39.090000000000003</v>
      </c>
      <c r="J2" s="6">
        <v>14</v>
      </c>
      <c r="K2" s="6">
        <v>15.55</v>
      </c>
      <c r="L2" s="6">
        <f>Tabela134[[#This Row],[Fim TU]]-Tabela134[[#This Row],[Início TU]]</f>
        <v>1.5500000000000007</v>
      </c>
      <c r="M2" s="6"/>
    </row>
    <row r="3" spans="1:13" x14ac:dyDescent="0.3">
      <c r="A3" s="4">
        <v>2</v>
      </c>
      <c r="B3" s="4" t="s">
        <v>130</v>
      </c>
      <c r="C3" s="3" t="s">
        <v>85</v>
      </c>
      <c r="D3" s="5" t="s">
        <v>163</v>
      </c>
      <c r="E3" s="5" t="s">
        <v>170</v>
      </c>
      <c r="F3" s="6">
        <v>15.55</v>
      </c>
      <c r="G3" s="6">
        <v>23.45</v>
      </c>
      <c r="H3" s="6">
        <f>G3-F3</f>
        <v>7.8999999999999986</v>
      </c>
      <c r="I3" s="6">
        <f>SUMIF($A$2:$A$36,A3,$H$2:$H$36)</f>
        <v>39.090000000000003</v>
      </c>
      <c r="J3" s="6">
        <v>15.55</v>
      </c>
      <c r="K3" s="6">
        <v>18.3</v>
      </c>
      <c r="L3" s="6">
        <f>Tabela134[[#This Row],[Fim TU]]-Tabela134[[#This Row],[Início TU]]</f>
        <v>2.75</v>
      </c>
      <c r="M3" s="6"/>
    </row>
    <row r="4" spans="1:13" x14ac:dyDescent="0.3">
      <c r="A4" s="4">
        <v>2</v>
      </c>
      <c r="B4" s="4" t="s">
        <v>131</v>
      </c>
      <c r="C4" s="3" t="s">
        <v>86</v>
      </c>
      <c r="D4" s="5" t="s">
        <v>170</v>
      </c>
      <c r="E4" s="5" t="s">
        <v>164</v>
      </c>
      <c r="F4" s="6">
        <v>23.45</v>
      </c>
      <c r="G4" s="6">
        <v>26.81</v>
      </c>
      <c r="H4" s="6">
        <f>G4-F4</f>
        <v>3.3599999999999994</v>
      </c>
      <c r="I4" s="6">
        <f>SUMIF($A$2:$A$36,A4,$H$2:$H$36)</f>
        <v>39.090000000000003</v>
      </c>
      <c r="J4" s="6"/>
      <c r="K4" s="6"/>
      <c r="L4" s="6">
        <f>Tabela134[[#This Row],[Fim TU]]-Tabela134[[#This Row],[Início TU]]</f>
        <v>0</v>
      </c>
      <c r="M4" s="6"/>
    </row>
    <row r="5" spans="1:13" x14ac:dyDescent="0.3">
      <c r="A5" s="4">
        <v>2</v>
      </c>
      <c r="B5" s="4" t="s">
        <v>137</v>
      </c>
      <c r="C5" s="3" t="s">
        <v>87</v>
      </c>
      <c r="D5" s="5" t="s">
        <v>164</v>
      </c>
      <c r="E5" s="5" t="s">
        <v>173</v>
      </c>
      <c r="F5" s="6">
        <v>26.81</v>
      </c>
      <c r="G5" s="6">
        <v>39.090000000000003</v>
      </c>
      <c r="H5" s="6">
        <f>G5-F5</f>
        <v>12.280000000000005</v>
      </c>
      <c r="I5" s="6">
        <f>SUMIF($A$2:$A$36,A5,$H$2:$H$36)</f>
        <v>39.090000000000003</v>
      </c>
      <c r="J5" s="6"/>
      <c r="K5" s="6"/>
      <c r="L5" s="6">
        <f>Tabela134[[#This Row],[Fim TU]]-Tabela134[[#This Row],[Início TU]]</f>
        <v>0</v>
      </c>
      <c r="M5" s="6"/>
    </row>
    <row r="6" spans="1:13" x14ac:dyDescent="0.3">
      <c r="A6" s="4">
        <v>23</v>
      </c>
      <c r="B6" s="4" t="s">
        <v>125</v>
      </c>
      <c r="C6" s="3" t="s">
        <v>88</v>
      </c>
      <c r="D6" s="5" t="s">
        <v>173</v>
      </c>
      <c r="E6" s="5" t="s">
        <v>184</v>
      </c>
      <c r="F6" s="6">
        <v>39.090000000000003</v>
      </c>
      <c r="G6" s="6">
        <v>59.92</v>
      </c>
      <c r="H6" s="6">
        <f>G6-F6</f>
        <v>20.83</v>
      </c>
      <c r="I6" s="6">
        <f>SUMIF($A$2:$A$36,A6,$H$2:$H$36)</f>
        <v>40.950000000000003</v>
      </c>
      <c r="J6" s="6">
        <v>51.21</v>
      </c>
      <c r="K6" s="6">
        <v>59.92</v>
      </c>
      <c r="L6" s="6">
        <f>Tabela134[[#This Row],[Fim TU]]-Tabela134[[#This Row],[Início TU]]</f>
        <v>8.7100000000000009</v>
      </c>
      <c r="M6" s="6"/>
    </row>
    <row r="7" spans="1:13" x14ac:dyDescent="0.3">
      <c r="A7" s="4">
        <v>23</v>
      </c>
      <c r="B7" s="4" t="s">
        <v>138</v>
      </c>
      <c r="C7" s="3" t="s">
        <v>89</v>
      </c>
      <c r="D7" s="5" t="s">
        <v>174</v>
      </c>
      <c r="E7" s="3" t="s">
        <v>120</v>
      </c>
      <c r="F7" s="6">
        <v>59.92</v>
      </c>
      <c r="G7" s="6">
        <v>69.08</v>
      </c>
      <c r="H7" s="6">
        <f>G7-F7</f>
        <v>9.1599999999999966</v>
      </c>
      <c r="I7" s="6">
        <f>SUMIF($A$2:$A$36,A7,$H$2:$H$36)</f>
        <v>40.950000000000003</v>
      </c>
      <c r="J7" s="6">
        <v>59.92</v>
      </c>
      <c r="K7" s="6">
        <v>62</v>
      </c>
      <c r="L7" s="6">
        <f>Tabela134[[#This Row],[Fim TU]]-Tabela134[[#This Row],[Início TU]]</f>
        <v>2.0799999999999983</v>
      </c>
      <c r="M7" s="6"/>
    </row>
    <row r="8" spans="1:13" x14ac:dyDescent="0.3">
      <c r="A8" s="4">
        <v>23</v>
      </c>
      <c r="B8" s="4" t="s">
        <v>138</v>
      </c>
      <c r="C8" s="3" t="s">
        <v>89</v>
      </c>
      <c r="D8" s="5" t="s">
        <v>174</v>
      </c>
      <c r="E8" s="3" t="s">
        <v>120</v>
      </c>
      <c r="F8" s="6">
        <v>59.92</v>
      </c>
      <c r="G8" s="6">
        <v>69.08</v>
      </c>
      <c r="H8" s="6"/>
      <c r="I8" s="6">
        <f>SUMIF($A$2:$A$36,A8,$H$2:$H$36)</f>
        <v>40.950000000000003</v>
      </c>
      <c r="J8" s="6">
        <v>65</v>
      </c>
      <c r="K8" s="6">
        <v>66</v>
      </c>
      <c r="L8" s="6">
        <f>Tabela134[[#This Row],[Fim TU]]-Tabela134[[#This Row],[Início TU]]</f>
        <v>1</v>
      </c>
      <c r="M8" s="6"/>
    </row>
    <row r="9" spans="1:13" x14ac:dyDescent="0.3">
      <c r="A9" s="4">
        <v>23</v>
      </c>
      <c r="B9" s="4" t="s">
        <v>132</v>
      </c>
      <c r="C9" s="3" t="s">
        <v>90</v>
      </c>
      <c r="D9" s="3" t="s">
        <v>120</v>
      </c>
      <c r="E9" s="5" t="s">
        <v>169</v>
      </c>
      <c r="F9" s="6">
        <v>69.08</v>
      </c>
      <c r="G9" s="6">
        <v>80.040000000000006</v>
      </c>
      <c r="H9" s="6">
        <f>G9-F9</f>
        <v>10.960000000000008</v>
      </c>
      <c r="I9" s="6">
        <f>SUMIF($A$2:$A$36,A9,$H$2:$H$36)</f>
        <v>40.950000000000003</v>
      </c>
      <c r="J9" s="6"/>
      <c r="K9" s="6"/>
      <c r="L9" s="6">
        <f>Tabela134[[#This Row],[Fim TU]]-Tabela134[[#This Row],[Início TU]]</f>
        <v>0</v>
      </c>
      <c r="M9" s="6"/>
    </row>
    <row r="10" spans="1:13" x14ac:dyDescent="0.3">
      <c r="A10" s="4">
        <v>8</v>
      </c>
      <c r="B10" s="4" t="s">
        <v>126</v>
      </c>
      <c r="C10" s="3" t="s">
        <v>92</v>
      </c>
      <c r="D10" s="5" t="s">
        <v>169</v>
      </c>
      <c r="E10" s="3" t="s">
        <v>121</v>
      </c>
      <c r="F10" s="6">
        <v>80.040000000000006</v>
      </c>
      <c r="G10" s="6">
        <v>81.48</v>
      </c>
      <c r="H10" s="6">
        <f>G10-F10</f>
        <v>1.4399999999999977</v>
      </c>
      <c r="I10" s="6">
        <f>SUMIF($A$2:$A$36,A10,$H$2:$H$36)</f>
        <v>49.67</v>
      </c>
      <c r="J10" s="6"/>
      <c r="K10" s="6"/>
      <c r="L10" s="6">
        <f>Tabela134[[#This Row],[Fim TU]]-Tabela134[[#This Row],[Início TU]]</f>
        <v>0</v>
      </c>
      <c r="M10" s="6"/>
    </row>
    <row r="11" spans="1:13" x14ac:dyDescent="0.3">
      <c r="A11" s="4">
        <v>8</v>
      </c>
      <c r="B11" s="4" t="s">
        <v>140</v>
      </c>
      <c r="C11" s="3" t="s">
        <v>93</v>
      </c>
      <c r="D11" s="3" t="s">
        <v>121</v>
      </c>
      <c r="E11" s="3" t="s">
        <v>122</v>
      </c>
      <c r="F11" s="6">
        <v>81.48</v>
      </c>
      <c r="G11" s="6">
        <v>91.18</v>
      </c>
      <c r="H11" s="6">
        <f>G11-F11</f>
        <v>9.7000000000000028</v>
      </c>
      <c r="I11" s="6">
        <f>SUMIF($A$2:$A$36,A11,$H$2:$H$36)</f>
        <v>49.67</v>
      </c>
      <c r="J11" s="6">
        <v>87</v>
      </c>
      <c r="K11" s="6">
        <v>89</v>
      </c>
      <c r="L11" s="6">
        <f>Tabela134[[#This Row],[Fim TU]]-Tabela134[[#This Row],[Início TU]]</f>
        <v>2</v>
      </c>
      <c r="M11" s="6"/>
    </row>
    <row r="12" spans="1:13" x14ac:dyDescent="0.3">
      <c r="A12" s="4">
        <v>8</v>
      </c>
      <c r="B12" s="4" t="s">
        <v>134</v>
      </c>
      <c r="C12" s="3" t="s">
        <v>94</v>
      </c>
      <c r="D12" s="3" t="s">
        <v>122</v>
      </c>
      <c r="E12" s="5" t="s">
        <v>182</v>
      </c>
      <c r="F12" s="6">
        <v>91.18</v>
      </c>
      <c r="G12" s="6">
        <v>95.05</v>
      </c>
      <c r="H12" s="6">
        <f>G12-F12</f>
        <v>3.8699999999999903</v>
      </c>
      <c r="I12" s="6">
        <f>SUMIF($A$2:$A$36,A12,$H$2:$H$36)</f>
        <v>49.67</v>
      </c>
      <c r="J12" s="6">
        <v>91.18</v>
      </c>
      <c r="K12" s="6">
        <v>92.25</v>
      </c>
      <c r="L12" s="6">
        <f>Tabela134[[#This Row],[Fim TU]]-Tabela134[[#This Row],[Início TU]]</f>
        <v>1.0699999999999932</v>
      </c>
      <c r="M12" s="6"/>
    </row>
    <row r="13" spans="1:13" x14ac:dyDescent="0.3">
      <c r="A13" s="4">
        <v>8</v>
      </c>
      <c r="B13" s="4" t="s">
        <v>134</v>
      </c>
      <c r="C13" s="3" t="s">
        <v>94</v>
      </c>
      <c r="D13" s="3" t="s">
        <v>122</v>
      </c>
      <c r="E13" s="5" t="s">
        <v>182</v>
      </c>
      <c r="F13" s="6">
        <v>91.18</v>
      </c>
      <c r="G13" s="6">
        <v>95.05</v>
      </c>
      <c r="H13" s="6"/>
      <c r="I13" s="6">
        <f>SUMIF($A$2:$A$36,A13,$H$2:$H$36)</f>
        <v>49.67</v>
      </c>
      <c r="J13" s="6">
        <v>94.63</v>
      </c>
      <c r="K13" s="6">
        <v>95.05</v>
      </c>
      <c r="L13" s="6">
        <f>Tabela134[[#This Row],[Fim TU]]-Tabela134[[#This Row],[Início TU]]</f>
        <v>0.42000000000000171</v>
      </c>
      <c r="M13" s="6"/>
    </row>
    <row r="14" spans="1:13" x14ac:dyDescent="0.3">
      <c r="A14" s="4">
        <v>8</v>
      </c>
      <c r="B14" s="4" t="s">
        <v>133</v>
      </c>
      <c r="C14" s="3" t="s">
        <v>95</v>
      </c>
      <c r="D14" s="5" t="s">
        <v>182</v>
      </c>
      <c r="E14" s="3" t="s">
        <v>123</v>
      </c>
      <c r="F14" s="6">
        <v>95.05</v>
      </c>
      <c r="G14" s="6">
        <v>107.8</v>
      </c>
      <c r="H14" s="6">
        <f>G14-F14</f>
        <v>12.75</v>
      </c>
      <c r="I14" s="6">
        <f>SUMIF($A$2:$A$36,A14,$H$2:$H$36)</f>
        <v>49.67</v>
      </c>
      <c r="J14" s="6">
        <v>95.05</v>
      </c>
      <c r="K14" s="6">
        <v>96.4</v>
      </c>
      <c r="L14" s="6">
        <f>Tabela134[[#This Row],[Fim TU]]-Tabela134[[#This Row],[Início TU]]</f>
        <v>1.3500000000000085</v>
      </c>
      <c r="M14" s="6"/>
    </row>
    <row r="15" spans="1:13" x14ac:dyDescent="0.3">
      <c r="A15" s="4">
        <v>8</v>
      </c>
      <c r="B15" s="4" t="s">
        <v>141</v>
      </c>
      <c r="C15" s="3" t="s">
        <v>96</v>
      </c>
      <c r="D15" s="3" t="s">
        <v>123</v>
      </c>
      <c r="E15" s="5" t="s">
        <v>172</v>
      </c>
      <c r="F15" s="6">
        <v>107.8</v>
      </c>
      <c r="G15" s="6">
        <v>126.41</v>
      </c>
      <c r="H15" s="6">
        <f>G15-F15</f>
        <v>18.61</v>
      </c>
      <c r="I15" s="6">
        <f>SUMIF($A$2:$A$36,A15,$H$2:$H$36)</f>
        <v>49.67</v>
      </c>
      <c r="J15" s="6"/>
      <c r="K15" s="6"/>
      <c r="L15" s="6">
        <f>Tabela134[[#This Row],[Fim TU]]-Tabela134[[#This Row],[Início TU]]</f>
        <v>0</v>
      </c>
      <c r="M15" s="6"/>
    </row>
    <row r="16" spans="1:13" x14ac:dyDescent="0.3">
      <c r="A16" s="4">
        <v>8</v>
      </c>
      <c r="B16" s="4" t="s">
        <v>142</v>
      </c>
      <c r="C16" s="3" t="s">
        <v>97</v>
      </c>
      <c r="D16" s="5" t="s">
        <v>172</v>
      </c>
      <c r="E16" s="3" t="s">
        <v>157</v>
      </c>
      <c r="F16" s="6">
        <v>126.41</v>
      </c>
      <c r="G16" s="6">
        <v>129.71</v>
      </c>
      <c r="H16" s="6">
        <f>G16-F16</f>
        <v>3.3000000000000114</v>
      </c>
      <c r="I16" s="6">
        <f>SUMIF($A$2:$A$36,A16,$H$2:$H$36)</f>
        <v>49.67</v>
      </c>
      <c r="J16" s="6"/>
      <c r="K16" s="6"/>
      <c r="L16" s="6">
        <f>Tabela134[[#This Row],[Fim TU]]-Tabela134[[#This Row],[Início TU]]</f>
        <v>0</v>
      </c>
      <c r="M16" s="6"/>
    </row>
    <row r="17" spans="1:13" x14ac:dyDescent="0.3">
      <c r="A17" s="4">
        <v>24</v>
      </c>
      <c r="B17" s="4" t="s">
        <v>127</v>
      </c>
      <c r="C17" s="3" t="s">
        <v>98</v>
      </c>
      <c r="D17" s="3" t="s">
        <v>157</v>
      </c>
      <c r="E17" s="5" t="s">
        <v>183</v>
      </c>
      <c r="F17" s="6">
        <v>129.71</v>
      </c>
      <c r="G17" s="6">
        <v>168.65</v>
      </c>
      <c r="H17" s="6">
        <f>G17-F17</f>
        <v>38.94</v>
      </c>
      <c r="I17" s="6">
        <f>SUMIF($A$2:$A$36,A17,$H$2:$H$36)</f>
        <v>38.94</v>
      </c>
      <c r="J17" s="6"/>
      <c r="K17" s="6"/>
      <c r="L17" s="6">
        <f>Tabela134[[#This Row],[Fim TU]]-Tabela134[[#This Row],[Início TU]]</f>
        <v>0</v>
      </c>
      <c r="M17" s="6"/>
    </row>
    <row r="18" spans="1:13" x14ac:dyDescent="0.3">
      <c r="A18" s="4">
        <v>3</v>
      </c>
      <c r="B18" s="4" t="s">
        <v>128</v>
      </c>
      <c r="C18" s="3" t="s">
        <v>99</v>
      </c>
      <c r="D18" s="5" t="s">
        <v>165</v>
      </c>
      <c r="E18" s="5" t="s">
        <v>180</v>
      </c>
      <c r="F18" s="6">
        <v>0</v>
      </c>
      <c r="G18" s="6">
        <v>7.03</v>
      </c>
      <c r="H18" s="6">
        <f>G18-F18</f>
        <v>7.03</v>
      </c>
      <c r="I18" s="6">
        <f>SUMIF($A$2:$A$36,A18,$H$2:$H$36)</f>
        <v>33.58</v>
      </c>
      <c r="J18" s="6">
        <v>0</v>
      </c>
      <c r="K18" s="6">
        <v>7.03</v>
      </c>
      <c r="L18" s="6">
        <f>Tabela134[[#This Row],[Fim TU]]-Tabela134[[#This Row],[Início TU]]</f>
        <v>7.03</v>
      </c>
      <c r="M18" s="6"/>
    </row>
    <row r="19" spans="1:13" x14ac:dyDescent="0.3">
      <c r="A19" s="4">
        <v>3</v>
      </c>
      <c r="B19" s="4" t="s">
        <v>139</v>
      </c>
      <c r="C19" s="3" t="s">
        <v>100</v>
      </c>
      <c r="D19" s="5" t="s">
        <v>180</v>
      </c>
      <c r="E19" s="5" t="s">
        <v>166</v>
      </c>
      <c r="F19" s="6">
        <v>7.03</v>
      </c>
      <c r="G19" s="6">
        <v>13.2</v>
      </c>
      <c r="H19" s="6">
        <f>G19-F19</f>
        <v>6.169999999999999</v>
      </c>
      <c r="I19" s="6">
        <f>SUMIF($A$2:$A$36,A19,$H$2:$H$36)</f>
        <v>33.58</v>
      </c>
      <c r="J19" s="6">
        <v>7.03</v>
      </c>
      <c r="K19" s="6">
        <v>13.2</v>
      </c>
      <c r="L19" s="6">
        <f>Tabela134[[#This Row],[Fim TU]]-Tabela134[[#This Row],[Início TU]]</f>
        <v>6.169999999999999</v>
      </c>
      <c r="M19" s="6"/>
    </row>
    <row r="20" spans="1:13" x14ac:dyDescent="0.3">
      <c r="A20" s="4">
        <v>3</v>
      </c>
      <c r="B20" s="4" t="s">
        <v>135</v>
      </c>
      <c r="C20" s="3" t="s">
        <v>101</v>
      </c>
      <c r="D20" s="5" t="s">
        <v>166</v>
      </c>
      <c r="E20" s="3" t="s">
        <v>119</v>
      </c>
      <c r="F20" s="6">
        <v>13.2</v>
      </c>
      <c r="G20" s="6">
        <v>18.93</v>
      </c>
      <c r="H20" s="6">
        <f>G20-F20</f>
        <v>5.73</v>
      </c>
      <c r="I20" s="6">
        <f>SUMIF($A$2:$A$36,A20,$H$2:$H$36)</f>
        <v>33.58</v>
      </c>
      <c r="J20" s="6">
        <v>13.2</v>
      </c>
      <c r="K20" s="6">
        <v>14.6</v>
      </c>
      <c r="L20" s="6">
        <f>Tabela134[[#This Row],[Fim TU]]-Tabela134[[#This Row],[Início TU]]</f>
        <v>1.4000000000000004</v>
      </c>
      <c r="M20" s="6"/>
    </row>
    <row r="21" spans="1:13" x14ac:dyDescent="0.3">
      <c r="A21" s="4">
        <v>3</v>
      </c>
      <c r="B21" s="4" t="s">
        <v>135</v>
      </c>
      <c r="C21" s="3" t="s">
        <v>101</v>
      </c>
      <c r="D21" s="5" t="s">
        <v>166</v>
      </c>
      <c r="E21" s="3" t="s">
        <v>119</v>
      </c>
      <c r="F21" s="6">
        <v>13.2</v>
      </c>
      <c r="G21" s="6">
        <v>18.93</v>
      </c>
      <c r="H21" s="6"/>
      <c r="I21" s="6">
        <f>SUMIF($A$2:$A$36,A21,$H$2:$H$36)</f>
        <v>33.58</v>
      </c>
      <c r="J21" s="6">
        <v>18.43</v>
      </c>
      <c r="K21" s="6">
        <v>18.93</v>
      </c>
      <c r="L21" s="6">
        <f>Tabela134[[#This Row],[Fim TU]]-Tabela134[[#This Row],[Início TU]]</f>
        <v>0.5</v>
      </c>
      <c r="M21" s="6"/>
    </row>
    <row r="22" spans="1:13" x14ac:dyDescent="0.3">
      <c r="A22" s="4">
        <v>3</v>
      </c>
      <c r="B22" s="4" t="s">
        <v>143</v>
      </c>
      <c r="C22" s="3" t="s">
        <v>102</v>
      </c>
      <c r="D22" s="3" t="s">
        <v>119</v>
      </c>
      <c r="E22" s="5" t="s">
        <v>181</v>
      </c>
      <c r="F22" s="6">
        <v>18.93</v>
      </c>
      <c r="G22" s="6">
        <v>31.8</v>
      </c>
      <c r="H22" s="6">
        <f>G22-F22</f>
        <v>12.870000000000001</v>
      </c>
      <c r="I22" s="6">
        <f>SUMIF($A$2:$A$36,A22,$H$2:$H$36)</f>
        <v>33.58</v>
      </c>
      <c r="J22" s="6">
        <v>18.93</v>
      </c>
      <c r="K22" s="6">
        <v>19.5</v>
      </c>
      <c r="L22" s="6">
        <f>Tabela134[[#This Row],[Fim TU]]-Tabela134[[#This Row],[Início TU]]</f>
        <v>0.57000000000000028</v>
      </c>
      <c r="M22" s="6"/>
    </row>
    <row r="23" spans="1:13" x14ac:dyDescent="0.3">
      <c r="A23" s="4">
        <v>3</v>
      </c>
      <c r="B23" s="4" t="s">
        <v>144</v>
      </c>
      <c r="C23" s="3" t="s">
        <v>103</v>
      </c>
      <c r="D23" s="5" t="s">
        <v>181</v>
      </c>
      <c r="E23" s="5" t="s">
        <v>171</v>
      </c>
      <c r="F23" s="6">
        <v>31.8</v>
      </c>
      <c r="G23" s="6">
        <v>33.58</v>
      </c>
      <c r="H23" s="6">
        <f>G23-F23</f>
        <v>1.7799999999999976</v>
      </c>
      <c r="I23" s="6">
        <f>SUMIF($A$2:$A$36,A23,$H$2:$H$36)</f>
        <v>33.58</v>
      </c>
      <c r="J23" s="6">
        <v>33</v>
      </c>
      <c r="K23" s="6">
        <v>33.58</v>
      </c>
      <c r="L23" s="6">
        <f>Tabela134[[#This Row],[Fim TU]]-Tabela134[[#This Row],[Início TU]]</f>
        <v>0.57999999999999829</v>
      </c>
      <c r="M23" s="6"/>
    </row>
    <row r="24" spans="1:13" x14ac:dyDescent="0.3">
      <c r="A24" s="4">
        <v>4</v>
      </c>
      <c r="B24" s="4" t="s">
        <v>129</v>
      </c>
      <c r="C24" s="3" t="s">
        <v>104</v>
      </c>
      <c r="D24" s="5" t="s">
        <v>171</v>
      </c>
      <c r="E24" s="5" t="s">
        <v>167</v>
      </c>
      <c r="F24" s="6">
        <v>0</v>
      </c>
      <c r="G24" s="6">
        <v>3.23</v>
      </c>
      <c r="H24" s="6">
        <f>G24-F24</f>
        <v>3.23</v>
      </c>
      <c r="I24" s="6">
        <f>SUMIF($A$2:$A$36,A24,$H$2:$H$36)</f>
        <v>7.11</v>
      </c>
      <c r="J24" s="6">
        <v>0</v>
      </c>
      <c r="K24" s="6">
        <v>3.23</v>
      </c>
      <c r="L24" s="6">
        <f>Tabela134[[#This Row],[Fim TU]]-Tabela134[[#This Row],[Início TU]]</f>
        <v>3.23</v>
      </c>
      <c r="M24" s="6"/>
    </row>
    <row r="25" spans="1:13" x14ac:dyDescent="0.3">
      <c r="A25" s="4">
        <v>4</v>
      </c>
      <c r="B25" s="4" t="s">
        <v>145</v>
      </c>
      <c r="C25" s="3" t="s">
        <v>105</v>
      </c>
      <c r="D25" s="5" t="s">
        <v>167</v>
      </c>
      <c r="E25" s="5" t="s">
        <v>168</v>
      </c>
      <c r="F25" s="6">
        <v>3.23</v>
      </c>
      <c r="G25" s="6">
        <v>5.76</v>
      </c>
      <c r="H25" s="6">
        <f>G25-F25</f>
        <v>2.5299999999999998</v>
      </c>
      <c r="I25" s="6">
        <f>SUMIF($A$2:$A$36,A25,$H$2:$H$36)</f>
        <v>7.11</v>
      </c>
      <c r="J25" s="6">
        <v>3.23</v>
      </c>
      <c r="K25" s="6">
        <v>3.73</v>
      </c>
      <c r="L25" s="6">
        <f>Tabela134[[#This Row],[Fim TU]]-Tabela134[[#This Row],[Início TU]]</f>
        <v>0.5</v>
      </c>
      <c r="M25" s="6"/>
    </row>
    <row r="26" spans="1:13" x14ac:dyDescent="0.3">
      <c r="A26" s="4">
        <v>4</v>
      </c>
      <c r="B26" s="4" t="s">
        <v>136</v>
      </c>
      <c r="C26" s="3" t="s">
        <v>106</v>
      </c>
      <c r="D26" s="5" t="s">
        <v>168</v>
      </c>
      <c r="E26" s="5" t="s">
        <v>175</v>
      </c>
      <c r="F26" s="6">
        <v>5.76</v>
      </c>
      <c r="G26" s="6">
        <v>7.11</v>
      </c>
      <c r="H26" s="6">
        <f>G26-F26</f>
        <v>1.3500000000000005</v>
      </c>
      <c r="I26" s="6">
        <f>SUMIF($A$2:$A$36,A26,$H$2:$H$36)</f>
        <v>7.11</v>
      </c>
      <c r="J26" s="6"/>
      <c r="K26" s="6"/>
      <c r="L26" s="6">
        <f>Tabela134[[#This Row],[Fim TU]]-Tabela134[[#This Row],[Início TU]]</f>
        <v>0</v>
      </c>
      <c r="M26" s="6"/>
    </row>
    <row r="27" spans="1:13" x14ac:dyDescent="0.3">
      <c r="A27" s="4">
        <v>26</v>
      </c>
      <c r="B27" s="4" t="s">
        <v>146</v>
      </c>
      <c r="C27" s="3" t="s">
        <v>107</v>
      </c>
      <c r="D27" s="5" t="s">
        <v>175</v>
      </c>
      <c r="E27" s="5" t="s">
        <v>185</v>
      </c>
      <c r="F27" s="6">
        <v>7.11</v>
      </c>
      <c r="G27" s="6">
        <v>21.49</v>
      </c>
      <c r="H27" s="6">
        <f>G27-F27</f>
        <v>14.379999999999999</v>
      </c>
      <c r="I27" s="6">
        <f>SUMIF($A$2:$A$36,A27,$H$2:$H$36)</f>
        <v>14.379999999999999</v>
      </c>
      <c r="J27" s="6"/>
      <c r="K27" s="6"/>
      <c r="L27" s="6">
        <f>Tabela134[[#This Row],[Fim TU]]-Tabela134[[#This Row],[Início TU]]</f>
        <v>0</v>
      </c>
      <c r="M27" s="6"/>
    </row>
    <row r="28" spans="1:13" x14ac:dyDescent="0.3">
      <c r="A28" s="4">
        <v>27</v>
      </c>
      <c r="B28" s="4" t="s">
        <v>147</v>
      </c>
      <c r="C28" s="3" t="s">
        <v>108</v>
      </c>
      <c r="D28" s="5" t="s">
        <v>176</v>
      </c>
      <c r="E28" s="3" t="s">
        <v>118</v>
      </c>
      <c r="F28" s="6">
        <v>0</v>
      </c>
      <c r="G28" s="6">
        <v>0.92</v>
      </c>
      <c r="H28" s="6">
        <f>G28-F28</f>
        <v>0.92</v>
      </c>
      <c r="I28" s="6">
        <f>SUMIF($A$2:$A$36,A28,$H$2:$H$36)</f>
        <v>14.84</v>
      </c>
      <c r="J28" s="6">
        <v>0</v>
      </c>
      <c r="K28" s="6">
        <v>0.92</v>
      </c>
      <c r="L28" s="6">
        <f>Tabela134[[#This Row],[Fim TU]]-Tabela134[[#This Row],[Início TU]]</f>
        <v>0.92</v>
      </c>
      <c r="M28" s="6"/>
    </row>
    <row r="29" spans="1:13" x14ac:dyDescent="0.3">
      <c r="A29" s="4">
        <v>27</v>
      </c>
      <c r="B29" s="4" t="s">
        <v>148</v>
      </c>
      <c r="C29" s="3" t="s">
        <v>109</v>
      </c>
      <c r="D29" s="3" t="s">
        <v>118</v>
      </c>
      <c r="E29" s="5" t="s">
        <v>186</v>
      </c>
      <c r="F29" s="6">
        <v>0.92</v>
      </c>
      <c r="G29" s="6">
        <v>14.84</v>
      </c>
      <c r="H29" s="6">
        <f>G29-F29</f>
        <v>13.92</v>
      </c>
      <c r="I29" s="6">
        <f>SUMIF($A$2:$A$36,A29,$H$2:$H$36)</f>
        <v>14.84</v>
      </c>
      <c r="J29" s="6"/>
      <c r="K29" s="6"/>
      <c r="L29" s="6">
        <f>Tabela134[[#This Row],[Fim TU]]-Tabela134[[#This Row],[Início TU]]</f>
        <v>0</v>
      </c>
      <c r="M29" s="6"/>
    </row>
    <row r="30" spans="1:13" x14ac:dyDescent="0.3">
      <c r="A30" s="4">
        <v>28</v>
      </c>
      <c r="B30" s="4" t="s">
        <v>152</v>
      </c>
      <c r="C30" s="3" t="s">
        <v>110</v>
      </c>
      <c r="D30" s="5" t="s">
        <v>177</v>
      </c>
      <c r="E30" s="5" t="s">
        <v>178</v>
      </c>
      <c r="F30" s="6">
        <v>101.43</v>
      </c>
      <c r="G30" s="6">
        <v>107.26</v>
      </c>
      <c r="H30" s="6">
        <f>G30-F30</f>
        <v>5.8299999999999983</v>
      </c>
      <c r="I30" s="6">
        <f>SUMIF($A$2:$A$36,A30,$H$2:$H$36)</f>
        <v>19.97999999999999</v>
      </c>
      <c r="J30" s="6"/>
      <c r="K30" s="6"/>
      <c r="L30" s="6">
        <f>Tabela134[[#This Row],[Fim TU]]-Tabela134[[#This Row],[Início TU]]</f>
        <v>0</v>
      </c>
      <c r="M30" s="6"/>
    </row>
    <row r="31" spans="1:13" x14ac:dyDescent="0.3">
      <c r="A31" s="4">
        <v>28</v>
      </c>
      <c r="B31" s="4" t="s">
        <v>153</v>
      </c>
      <c r="C31" s="3" t="s">
        <v>111</v>
      </c>
      <c r="D31" s="5" t="s">
        <v>178</v>
      </c>
      <c r="E31" s="5" t="s">
        <v>179</v>
      </c>
      <c r="F31" s="6">
        <v>107.26</v>
      </c>
      <c r="G31" s="6">
        <v>113.91</v>
      </c>
      <c r="H31" s="6">
        <f>G31-F31</f>
        <v>6.6499999999999915</v>
      </c>
      <c r="I31" s="6">
        <f>SUMIF($A$2:$A$36,A31,$H$2:$H$36)</f>
        <v>19.97999999999999</v>
      </c>
      <c r="J31" s="6"/>
      <c r="K31" s="6"/>
      <c r="L31" s="6">
        <f>Tabela134[[#This Row],[Fim TU]]-Tabela134[[#This Row],[Início TU]]</f>
        <v>0</v>
      </c>
      <c r="M31" s="6"/>
    </row>
    <row r="32" spans="1:13" x14ac:dyDescent="0.3">
      <c r="A32" s="4">
        <v>28</v>
      </c>
      <c r="B32" s="4" t="s">
        <v>154</v>
      </c>
      <c r="C32" s="3" t="s">
        <v>112</v>
      </c>
      <c r="D32" s="5" t="s">
        <v>179</v>
      </c>
      <c r="E32" s="3" t="s">
        <v>117</v>
      </c>
      <c r="F32" s="6">
        <v>113.91</v>
      </c>
      <c r="G32" s="6">
        <v>119.39</v>
      </c>
      <c r="H32" s="6">
        <f>G32-F32</f>
        <v>5.480000000000004</v>
      </c>
      <c r="I32" s="6">
        <f>SUMIF($A$2:$A$36,A32,$H$2:$H$36)</f>
        <v>19.97999999999999</v>
      </c>
      <c r="J32" s="6"/>
      <c r="K32" s="6"/>
      <c r="L32" s="6">
        <f>Tabela134[[#This Row],[Fim TU]]-Tabela134[[#This Row],[Início TU]]</f>
        <v>0</v>
      </c>
      <c r="M32" s="6"/>
    </row>
    <row r="33" spans="1:13" x14ac:dyDescent="0.3">
      <c r="A33" s="4">
        <v>28</v>
      </c>
      <c r="B33" s="4" t="s">
        <v>155</v>
      </c>
      <c r="C33" s="3" t="s">
        <v>113</v>
      </c>
      <c r="D33" s="3" t="s">
        <v>117</v>
      </c>
      <c r="E33" s="5" t="s">
        <v>187</v>
      </c>
      <c r="F33" s="6">
        <v>119.39</v>
      </c>
      <c r="G33" s="6">
        <v>121.41</v>
      </c>
      <c r="H33" s="6">
        <f>G33-F33</f>
        <v>2.019999999999996</v>
      </c>
      <c r="I33" s="6">
        <f>SUMIF($A$2:$A$36,A33,$H$2:$H$36)</f>
        <v>19.97999999999999</v>
      </c>
      <c r="J33" s="6">
        <v>119.39</v>
      </c>
      <c r="K33" s="6">
        <v>121.41</v>
      </c>
      <c r="L33" s="6">
        <f>Tabela134[[#This Row],[Fim TU]]-Tabela134[[#This Row],[Início TU]]</f>
        <v>2.019999999999996</v>
      </c>
      <c r="M33" s="6"/>
    </row>
    <row r="34" spans="1:13" x14ac:dyDescent="0.3">
      <c r="A34" s="4">
        <v>32</v>
      </c>
      <c r="B34" s="4" t="s">
        <v>149</v>
      </c>
      <c r="C34" s="3" t="s">
        <v>114</v>
      </c>
      <c r="D34" s="3" t="s">
        <v>158</v>
      </c>
      <c r="E34" s="3" t="s">
        <v>159</v>
      </c>
      <c r="F34" s="6">
        <v>220.5</v>
      </c>
      <c r="G34" s="6">
        <v>223.07</v>
      </c>
      <c r="H34" s="6">
        <f>G34-F34</f>
        <v>2.5699999999999932</v>
      </c>
      <c r="I34" s="6">
        <f>SUMIF($A$2:$A$36,A34,$H$2:$H$36)</f>
        <v>12.889999999999986</v>
      </c>
      <c r="J34" s="6"/>
      <c r="K34" s="6"/>
      <c r="L34" s="6">
        <f>Tabela134[[#This Row],[Fim TU]]-Tabela134[[#This Row],[Início TU]]</f>
        <v>0</v>
      </c>
      <c r="M34" s="6"/>
    </row>
    <row r="35" spans="1:13" x14ac:dyDescent="0.3">
      <c r="A35" s="4">
        <v>32</v>
      </c>
      <c r="B35" s="4" t="s">
        <v>150</v>
      </c>
      <c r="C35" s="3" t="s">
        <v>115</v>
      </c>
      <c r="D35" s="3" t="s">
        <v>159</v>
      </c>
      <c r="E35" s="3" t="s">
        <v>160</v>
      </c>
      <c r="F35" s="6">
        <v>223.07</v>
      </c>
      <c r="G35" s="6">
        <v>228.32</v>
      </c>
      <c r="H35" s="6">
        <f>G35-F35</f>
        <v>5.25</v>
      </c>
      <c r="I35" s="6">
        <f>SUMIF($A$2:$A$36,A35,$H$2:$H$36)</f>
        <v>12.889999999999986</v>
      </c>
      <c r="J35" s="6"/>
      <c r="K35" s="6"/>
      <c r="L35" s="6">
        <f>Tabela134[[#This Row],[Fim TU]]-Tabela134[[#This Row],[Início TU]]</f>
        <v>0</v>
      </c>
      <c r="M35" s="6"/>
    </row>
    <row r="36" spans="1:13" x14ac:dyDescent="0.3">
      <c r="A36" s="4">
        <v>32</v>
      </c>
      <c r="B36" s="4" t="s">
        <v>151</v>
      </c>
      <c r="C36" s="3" t="s">
        <v>116</v>
      </c>
      <c r="D36" s="3" t="s">
        <v>160</v>
      </c>
      <c r="E36" s="3" t="s">
        <v>161</v>
      </c>
      <c r="F36" s="6">
        <v>228.32</v>
      </c>
      <c r="G36" s="6">
        <v>233.39</v>
      </c>
      <c r="H36" s="6">
        <f>G36-F36</f>
        <v>5.0699999999999932</v>
      </c>
      <c r="I36" s="6">
        <f>SUMIF($A$2:$A$36,A36,$H$2:$H$36)</f>
        <v>12.889999999999986</v>
      </c>
      <c r="J36" s="6"/>
      <c r="K36" s="6"/>
      <c r="L36" s="6">
        <f>Tabela134[[#This Row],[Fim TU]]-Tabela134[[#This Row],[Início TU]]</f>
        <v>0</v>
      </c>
      <c r="M36" s="6"/>
    </row>
    <row r="37" spans="1:13" x14ac:dyDescent="0.3">
      <c r="A37" s="4" t="s">
        <v>83</v>
      </c>
      <c r="B37" s="4"/>
      <c r="C37" s="3"/>
      <c r="F37" s="4"/>
      <c r="G37" s="4"/>
      <c r="H37" s="6">
        <f>SUBTOTAL(109,Tabela134[Extensão (km)])</f>
        <v>271.42999999999989</v>
      </c>
      <c r="I37" s="4"/>
      <c r="J37" s="4"/>
      <c r="K37" s="4"/>
      <c r="L37" s="6">
        <f>SUBTOTAL(109,Tabela134[Extensão TU (km)])</f>
        <v>43.849999999999994</v>
      </c>
      <c r="M37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2bb1e9-2231-4cc7-b279-db90dfe00833" xsi:nil="true"/>
    <lcf76f155ced4ddcb4097134ff3c332f xmlns="058928b1-175b-4441-bd2b-40793fbad17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7A9050EE74C64CAF8F1D146F32029D" ma:contentTypeVersion="18" ma:contentTypeDescription="Crie um novo documento." ma:contentTypeScope="" ma:versionID="a8b37e5c5dd0a6daff4a7defa8ceb1a8">
  <xsd:schema xmlns:xsd="http://www.w3.org/2001/XMLSchema" xmlns:xs="http://www.w3.org/2001/XMLSchema" xmlns:p="http://schemas.microsoft.com/office/2006/metadata/properties" xmlns:ns2="058928b1-175b-4441-bd2b-40793fbad178" xmlns:ns3="a52bb1e9-2231-4cc7-b279-db90dfe00833" targetNamespace="http://schemas.microsoft.com/office/2006/metadata/properties" ma:root="true" ma:fieldsID="cafa5fa0f4bae95f9992a4e0bd9e7c34" ns2:_="" ns3:_="">
    <xsd:import namespace="058928b1-175b-4441-bd2b-40793fbad178"/>
    <xsd:import namespace="a52bb1e9-2231-4cc7-b279-db90dfe008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8928b1-175b-4441-bd2b-40793fbad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949dc0-332d-4f90-9758-939af5d309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2bb1e9-2231-4cc7-b279-db90dfe0083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ae74795-93bf-4113-9c8b-7008344e2510}" ma:internalName="TaxCatchAll" ma:showField="CatchAllData" ma:web="a52bb1e9-2231-4cc7-b279-db90dfe008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0A2CA4-8459-4BA0-B816-B54CF3D873AD}">
  <ds:schemaRefs>
    <ds:schemaRef ds:uri="http://schemas.microsoft.com/office/2006/metadata/properties"/>
    <ds:schemaRef ds:uri="http://schemas.microsoft.com/office/infopath/2007/PartnerControls"/>
    <ds:schemaRef ds:uri="a52bb1e9-2231-4cc7-b279-db90dfe00833"/>
    <ds:schemaRef ds:uri="058928b1-175b-4441-bd2b-40793fbad178"/>
  </ds:schemaRefs>
</ds:datastoreItem>
</file>

<file path=customXml/itemProps2.xml><?xml version="1.0" encoding="utf-8"?>
<ds:datastoreItem xmlns:ds="http://schemas.openxmlformats.org/officeDocument/2006/customXml" ds:itemID="{CA2CB473-C5EB-4961-8C3F-E70F633235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95E179-FD64-4322-99EA-00109AD846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RSC-287 - RSM</vt:lpstr>
      <vt:lpstr>Bloco 3 - CSG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Citolin</dc:creator>
  <cp:lastModifiedBy>Ricardo Samuel Citolin</cp:lastModifiedBy>
  <dcterms:created xsi:type="dcterms:W3CDTF">2015-06-05T18:19:34Z</dcterms:created>
  <dcterms:modified xsi:type="dcterms:W3CDTF">2024-04-26T14:07:10Z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0x0101004E7A9050EE74C64CAF8F1D146F32029D</vt:lpwstr>
  </property>
  <property fmtid="{D5CDD505-2E9C-101B-9397-08002B2CF9AE}" pid="3" name="MediaServiceImageTags">
    <vt:lpwstr/>
  </property>
</Properties>
</file>